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H:\Nextcloud\TFO_ME\3AEL_AUT\Arduino\Progs\"/>
    </mc:Choice>
  </mc:AlternateContent>
  <xr:revisionPtr revIDLastSave="0" documentId="13_ncr:1_{0B5D9341-9997-48AA-8C59-26CD92911BC1}" xr6:coauthVersionLast="47" xr6:coauthVersionMax="47" xr10:uidLastSave="{00000000-0000-0000-0000-000000000000}"/>
  <bookViews>
    <workbookView xWindow="-23148" yWindow="-684" windowWidth="23256" windowHeight="12576" xr2:uid="{C41628B1-2A46-467C-BE74-62B9D5068A7C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2" i="1" l="1"/>
  <c r="D12" i="1" s="1"/>
  <c r="E12" i="1" s="1"/>
  <c r="F12" i="1" s="1"/>
  <c r="G12" i="1" s="1"/>
  <c r="H12" i="1" s="1"/>
  <c r="F29" i="1"/>
  <c r="G29" i="1" s="1"/>
  <c r="H29" i="1" s="1"/>
  <c r="E13" i="1"/>
  <c r="F13" i="1" s="1"/>
  <c r="G13" i="1" s="1"/>
  <c r="H13" i="1" s="1"/>
  <c r="E14" i="1"/>
  <c r="F14" i="1" s="1"/>
  <c r="G14" i="1" s="1"/>
  <c r="H14" i="1" s="1"/>
  <c r="E17" i="1"/>
  <c r="F17" i="1" s="1"/>
  <c r="G17" i="1" s="1"/>
  <c r="H17" i="1" s="1"/>
  <c r="E18" i="1"/>
  <c r="F18" i="1" s="1"/>
  <c r="G18" i="1" s="1"/>
  <c r="H18" i="1" s="1"/>
  <c r="E21" i="1"/>
  <c r="F21" i="1" s="1"/>
  <c r="G21" i="1" s="1"/>
  <c r="H21" i="1" s="1"/>
  <c r="E22" i="1"/>
  <c r="F22" i="1" s="1"/>
  <c r="G22" i="1" s="1"/>
  <c r="H22" i="1" s="1"/>
  <c r="E25" i="1"/>
  <c r="F25" i="1" s="1"/>
  <c r="G25" i="1" s="1"/>
  <c r="H25" i="1" s="1"/>
  <c r="E26" i="1"/>
  <c r="F26" i="1" s="1"/>
  <c r="G26" i="1" s="1"/>
  <c r="H26" i="1" s="1"/>
  <c r="E29" i="1"/>
  <c r="E30" i="1"/>
  <c r="F30" i="1" s="1"/>
  <c r="G30" i="1" s="1"/>
  <c r="H30" i="1" s="1"/>
  <c r="E33" i="1"/>
  <c r="F33" i="1" s="1"/>
  <c r="G33" i="1" s="1"/>
  <c r="H33" i="1" s="1"/>
  <c r="E34" i="1"/>
  <c r="F34" i="1" s="1"/>
  <c r="G34" i="1" s="1"/>
  <c r="H34" i="1" s="1"/>
  <c r="E37" i="1"/>
  <c r="F37" i="1" s="1"/>
  <c r="G37" i="1" s="1"/>
  <c r="H37" i="1" s="1"/>
  <c r="E38" i="1"/>
  <c r="F38" i="1" s="1"/>
  <c r="G38" i="1" s="1"/>
  <c r="H38" i="1" s="1"/>
  <c r="E41" i="1"/>
  <c r="F41" i="1" s="1"/>
  <c r="G41" i="1" s="1"/>
  <c r="H41" i="1" s="1"/>
  <c r="E42" i="1"/>
  <c r="F42" i="1" s="1"/>
  <c r="G42" i="1" s="1"/>
  <c r="H42" i="1" s="1"/>
  <c r="D13" i="1"/>
  <c r="D14" i="1"/>
  <c r="D15" i="1"/>
  <c r="E15" i="1" s="1"/>
  <c r="F15" i="1" s="1"/>
  <c r="G15" i="1" s="1"/>
  <c r="H15" i="1" s="1"/>
  <c r="D17" i="1"/>
  <c r="D18" i="1"/>
  <c r="D19" i="1"/>
  <c r="E19" i="1" s="1"/>
  <c r="F19" i="1" s="1"/>
  <c r="G19" i="1" s="1"/>
  <c r="H19" i="1" s="1"/>
  <c r="D21" i="1"/>
  <c r="D22" i="1"/>
  <c r="D23" i="1"/>
  <c r="E23" i="1" s="1"/>
  <c r="F23" i="1" s="1"/>
  <c r="G23" i="1" s="1"/>
  <c r="H23" i="1" s="1"/>
  <c r="D25" i="1"/>
  <c r="D26" i="1"/>
  <c r="D27" i="1"/>
  <c r="E27" i="1" s="1"/>
  <c r="F27" i="1" s="1"/>
  <c r="G27" i="1" s="1"/>
  <c r="H27" i="1" s="1"/>
  <c r="D29" i="1"/>
  <c r="D30" i="1"/>
  <c r="D31" i="1"/>
  <c r="E31" i="1" s="1"/>
  <c r="F31" i="1" s="1"/>
  <c r="G31" i="1" s="1"/>
  <c r="H31" i="1" s="1"/>
  <c r="D33" i="1"/>
  <c r="D34" i="1"/>
  <c r="D35" i="1"/>
  <c r="E35" i="1" s="1"/>
  <c r="F35" i="1" s="1"/>
  <c r="G35" i="1" s="1"/>
  <c r="H35" i="1" s="1"/>
  <c r="D37" i="1"/>
  <c r="D38" i="1"/>
  <c r="D39" i="1"/>
  <c r="E39" i="1" s="1"/>
  <c r="F39" i="1" s="1"/>
  <c r="G39" i="1" s="1"/>
  <c r="H39" i="1" s="1"/>
  <c r="D41" i="1"/>
  <c r="D42" i="1"/>
  <c r="C13" i="1"/>
  <c r="C14" i="1"/>
  <c r="C15" i="1"/>
  <c r="C16" i="1"/>
  <c r="D16" i="1" s="1"/>
  <c r="E16" i="1" s="1"/>
  <c r="F16" i="1" s="1"/>
  <c r="G16" i="1" s="1"/>
  <c r="H16" i="1" s="1"/>
  <c r="C17" i="1"/>
  <c r="C18" i="1"/>
  <c r="C19" i="1"/>
  <c r="C20" i="1"/>
  <c r="D20" i="1" s="1"/>
  <c r="E20" i="1" s="1"/>
  <c r="F20" i="1" s="1"/>
  <c r="G20" i="1" s="1"/>
  <c r="H20" i="1" s="1"/>
  <c r="C21" i="1"/>
  <c r="C22" i="1"/>
  <c r="C23" i="1"/>
  <c r="C24" i="1"/>
  <c r="D24" i="1" s="1"/>
  <c r="E24" i="1" s="1"/>
  <c r="F24" i="1" s="1"/>
  <c r="G24" i="1" s="1"/>
  <c r="H24" i="1" s="1"/>
  <c r="C25" i="1"/>
  <c r="C26" i="1"/>
  <c r="C27" i="1"/>
  <c r="C28" i="1"/>
  <c r="D28" i="1" s="1"/>
  <c r="E28" i="1" s="1"/>
  <c r="F28" i="1" s="1"/>
  <c r="G28" i="1" s="1"/>
  <c r="H28" i="1" s="1"/>
  <c r="C29" i="1"/>
  <c r="C30" i="1"/>
  <c r="C31" i="1"/>
  <c r="C32" i="1"/>
  <c r="D32" i="1" s="1"/>
  <c r="E32" i="1" s="1"/>
  <c r="F32" i="1" s="1"/>
  <c r="G32" i="1" s="1"/>
  <c r="H32" i="1" s="1"/>
  <c r="C33" i="1"/>
  <c r="C34" i="1"/>
  <c r="C35" i="1"/>
  <c r="C36" i="1"/>
  <c r="D36" i="1" s="1"/>
  <c r="E36" i="1" s="1"/>
  <c r="F36" i="1" s="1"/>
  <c r="G36" i="1" s="1"/>
  <c r="H36" i="1" s="1"/>
  <c r="C37" i="1"/>
  <c r="C38" i="1"/>
  <c r="C39" i="1"/>
  <c r="C40" i="1"/>
  <c r="D40" i="1" s="1"/>
  <c r="E40" i="1" s="1"/>
  <c r="F40" i="1" s="1"/>
  <c r="G40" i="1" s="1"/>
  <c r="H40" i="1" s="1"/>
  <c r="C41" i="1"/>
  <c r="C42" i="1"/>
</calcChain>
</file>

<file path=xl/sharedStrings.xml><?xml version="1.0" encoding="utf-8"?>
<sst xmlns="http://schemas.openxmlformats.org/spreadsheetml/2006/main" count="22" uniqueCount="18">
  <si>
    <t>NTC Thermistor Berechnung</t>
  </si>
  <si>
    <t>Ohm</t>
  </si>
  <si>
    <t>K</t>
  </si>
  <si>
    <t>B</t>
  </si>
  <si>
    <t>R(T)</t>
  </si>
  <si>
    <r>
      <t>T</t>
    </r>
    <r>
      <rPr>
        <vertAlign val="subscript"/>
        <sz val="11"/>
        <color theme="1"/>
        <rFont val="Calibri"/>
        <family val="2"/>
        <scheme val="minor"/>
      </rPr>
      <t>0</t>
    </r>
  </si>
  <si>
    <r>
      <t>R</t>
    </r>
    <r>
      <rPr>
        <vertAlign val="subscript"/>
        <sz val="11"/>
        <color theme="1"/>
        <rFont val="Calibri"/>
        <family val="2"/>
        <scheme val="minor"/>
      </rPr>
      <t>T0</t>
    </r>
  </si>
  <si>
    <t>°C</t>
  </si>
  <si>
    <t>1K=</t>
  </si>
  <si>
    <r>
      <t>U</t>
    </r>
    <r>
      <rPr>
        <vertAlign val="subscript"/>
        <sz val="11"/>
        <color theme="1"/>
        <rFont val="Calibri"/>
        <family val="2"/>
        <scheme val="minor"/>
      </rPr>
      <t>2</t>
    </r>
  </si>
  <si>
    <t>Spannungsteiler:</t>
  </si>
  <si>
    <r>
      <t>R</t>
    </r>
    <r>
      <rPr>
        <vertAlign val="subscript"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=</t>
    </r>
  </si>
  <si>
    <r>
      <t>U</t>
    </r>
    <r>
      <rPr>
        <vertAlign val="subscript"/>
        <sz val="11"/>
        <color theme="1"/>
        <rFont val="Calibri"/>
        <family val="2"/>
        <scheme val="minor"/>
      </rPr>
      <t>VCC</t>
    </r>
    <r>
      <rPr>
        <sz val="11"/>
        <color theme="1"/>
        <rFont val="Calibri"/>
        <family val="2"/>
        <scheme val="minor"/>
      </rPr>
      <t>=</t>
    </r>
  </si>
  <si>
    <t>V</t>
  </si>
  <si>
    <t>ADC Wert</t>
  </si>
  <si>
    <t>T[°C]</t>
  </si>
  <si>
    <r>
      <t>U</t>
    </r>
    <r>
      <rPr>
        <vertAlign val="subscript"/>
        <sz val="11"/>
        <color theme="2" tint="-0.249977111117893"/>
        <rFont val="Calibri"/>
        <family val="2"/>
        <scheme val="minor"/>
      </rPr>
      <t>2</t>
    </r>
  </si>
  <si>
    <t>Rückrechnung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</si>
</sst>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vertAlign val="subscript"/>
      <sz val="11"/>
      <color theme="1"/>
      <name val="Calibri"/>
      <family val="2"/>
      <scheme val="minor"/>
    </font>
    <font>
      <sz val="11"/>
      <color theme="2" tint="-0.249977111117893"/>
      <name val="Calibri"/>
      <family val="2"/>
      <scheme val="minor"/>
    </font>
    <font>
      <vertAlign val="subscript"/>
      <sz val="11"/>
      <color theme="2" tint="-0.249977111117893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2" fontId="0" fillId="0" borderId="0" xfId="0" applyNumberFormat="1"/>
    <xf numFmtId="1" fontId="0" fillId="0" borderId="0" xfId="0" applyNumberFormat="1"/>
    <xf numFmtId="1" fontId="0" fillId="0" borderId="0" xfId="0" applyNumberFormat="1" applyAlignment="1">
      <alignment horizontal="right"/>
    </xf>
    <xf numFmtId="1" fontId="0" fillId="0" borderId="0" xfId="0" applyNumberFormat="1" applyAlignment="1">
      <alignment horizontal="center"/>
    </xf>
    <xf numFmtId="0" fontId="0" fillId="2" borderId="0" xfId="0" applyFill="1"/>
    <xf numFmtId="2" fontId="0" fillId="2" borderId="0" xfId="0" applyNumberFormat="1" applyFill="1"/>
    <xf numFmtId="1" fontId="0" fillId="2" borderId="0" xfId="0" applyNumberFormat="1" applyFill="1"/>
    <xf numFmtId="2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2" fontId="2" fillId="0" borderId="0" xfId="0" applyNumberFormat="1" applyFont="1"/>
    <xf numFmtId="1" fontId="2" fillId="0" borderId="0" xfId="0" applyNumberFormat="1" applyFont="1"/>
    <xf numFmtId="0" fontId="2" fillId="0" borderId="0" xfId="0" applyFont="1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Tabelle1!$C$11</c:f>
              <c:strCache>
                <c:ptCount val="1"/>
                <c:pt idx="0">
                  <c:v>R(T)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Tabelle1!$B$12:$B$42</c:f>
              <c:numCache>
                <c:formatCode>General</c:formatCode>
                <c:ptCount val="31"/>
                <c:pt idx="0">
                  <c:v>15</c:v>
                </c:pt>
                <c:pt idx="1">
                  <c:v>16</c:v>
                </c:pt>
                <c:pt idx="2">
                  <c:v>17</c:v>
                </c:pt>
                <c:pt idx="3">
                  <c:v>18</c:v>
                </c:pt>
                <c:pt idx="4">
                  <c:v>19</c:v>
                </c:pt>
                <c:pt idx="5">
                  <c:v>20</c:v>
                </c:pt>
                <c:pt idx="6">
                  <c:v>21</c:v>
                </c:pt>
                <c:pt idx="7">
                  <c:v>22</c:v>
                </c:pt>
                <c:pt idx="8">
                  <c:v>23</c:v>
                </c:pt>
                <c:pt idx="9">
                  <c:v>24</c:v>
                </c:pt>
                <c:pt idx="10">
                  <c:v>25</c:v>
                </c:pt>
                <c:pt idx="11">
                  <c:v>26</c:v>
                </c:pt>
                <c:pt idx="12">
                  <c:v>27</c:v>
                </c:pt>
                <c:pt idx="13">
                  <c:v>28</c:v>
                </c:pt>
                <c:pt idx="14">
                  <c:v>29</c:v>
                </c:pt>
                <c:pt idx="15">
                  <c:v>30</c:v>
                </c:pt>
                <c:pt idx="16">
                  <c:v>31</c:v>
                </c:pt>
                <c:pt idx="17">
                  <c:v>32</c:v>
                </c:pt>
                <c:pt idx="18">
                  <c:v>33</c:v>
                </c:pt>
                <c:pt idx="19">
                  <c:v>34</c:v>
                </c:pt>
                <c:pt idx="20">
                  <c:v>35</c:v>
                </c:pt>
                <c:pt idx="21">
                  <c:v>36</c:v>
                </c:pt>
                <c:pt idx="22">
                  <c:v>37</c:v>
                </c:pt>
                <c:pt idx="23">
                  <c:v>38</c:v>
                </c:pt>
                <c:pt idx="24">
                  <c:v>39</c:v>
                </c:pt>
                <c:pt idx="25">
                  <c:v>40</c:v>
                </c:pt>
                <c:pt idx="26">
                  <c:v>41</c:v>
                </c:pt>
                <c:pt idx="27">
                  <c:v>42</c:v>
                </c:pt>
                <c:pt idx="28">
                  <c:v>43</c:v>
                </c:pt>
                <c:pt idx="29">
                  <c:v>44</c:v>
                </c:pt>
                <c:pt idx="30">
                  <c:v>45</c:v>
                </c:pt>
              </c:numCache>
            </c:numRef>
          </c:cat>
          <c:val>
            <c:numRef>
              <c:f>Tabelle1!$C$12:$C$42</c:f>
              <c:numCache>
                <c:formatCode>0</c:formatCode>
                <c:ptCount val="31"/>
                <c:pt idx="0">
                  <c:v>15836.650777447219</c:v>
                </c:pt>
                <c:pt idx="1">
                  <c:v>15103.429095214971</c:v>
                </c:pt>
                <c:pt idx="2">
                  <c:v>14408.862219613857</c:v>
                </c:pt>
                <c:pt idx="3">
                  <c:v>13750.682686048725</c:v>
                </c:pt>
                <c:pt idx="4">
                  <c:v>13126.768739945503</c:v>
                </c:pt>
                <c:pt idx="5">
                  <c:v>12535.134194873373</c:v>
                </c:pt>
                <c:pt idx="6">
                  <c:v>11973.919048617772</c:v>
                </c:pt>
                <c:pt idx="7">
                  <c:v>11441.380796802885</c:v>
                </c:pt>
                <c:pt idx="8">
                  <c:v>10935.886388766352</c:v>
                </c:pt>
                <c:pt idx="9">
                  <c:v>10455.904775036526</c:v>
                </c:pt>
                <c:pt idx="10">
                  <c:v>10000</c:v>
                </c:pt>
                <c:pt idx="11">
                  <c:v>9566.8247972074751</c:v>
                </c:pt>
                <c:pt idx="12">
                  <c:v>9155.1146482906315</c:v>
                </c:pt>
                <c:pt idx="13">
                  <c:v>8763.6822696764812</c:v>
                </c:pt>
                <c:pt idx="14">
                  <c:v>8391.4124942213766</c:v>
                </c:pt>
                <c:pt idx="15">
                  <c:v>8037.257517568285</c:v>
                </c:pt>
                <c:pt idx="16">
                  <c:v>7700.2324814810281</c:v>
                </c:pt>
                <c:pt idx="17">
                  <c:v>7379.411368649754</c:v>
                </c:pt>
                <c:pt idx="18">
                  <c:v>7073.923185511163</c:v>
                </c:pt>
                <c:pt idx="19">
                  <c:v>6782.9484115021723</c:v>
                </c:pt>
                <c:pt idx="20">
                  <c:v>6505.7156948830598</c:v>
                </c:pt>
                <c:pt idx="21">
                  <c:v>6241.4987768383244</c:v>
                </c:pt>
                <c:pt idx="22">
                  <c:v>5989.6136270048237</c:v>
                </c:pt>
                <c:pt idx="23">
                  <c:v>5749.4157748977905</c:v>
                </c:pt>
                <c:pt idx="24">
                  <c:v>5520.2978229169967</c:v>
                </c:pt>
                <c:pt idx="25">
                  <c:v>5301.6871277268665</c:v>
                </c:pt>
                <c:pt idx="26">
                  <c:v>5093.0436378250351</c:v>
                </c:pt>
                <c:pt idx="27">
                  <c:v>4893.857876050748</c:v>
                </c:pt>
                <c:pt idx="28">
                  <c:v>4703.6490566455614</c:v>
                </c:pt>
                <c:pt idx="29">
                  <c:v>4521.963327269872</c:v>
                </c:pt>
                <c:pt idx="30">
                  <c:v>4348.3721271064742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79-4541-A89F-2BDDCC399A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39827728"/>
        <c:axId val="739828144"/>
      </c:lineChart>
      <c:catAx>
        <c:axId val="7398277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739828144"/>
        <c:crosses val="autoZero"/>
        <c:auto val="1"/>
        <c:lblAlgn val="ctr"/>
        <c:lblOffset val="100"/>
        <c:noMultiLvlLbl val="0"/>
      </c:catAx>
      <c:valAx>
        <c:axId val="7398281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7398277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chart" Target="../charts/chart1.xm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104775</xdr:colOff>
      <xdr:row>2</xdr:row>
      <xdr:rowOff>38100</xdr:rowOff>
    </xdr:from>
    <xdr:to>
      <xdr:col>6</xdr:col>
      <xdr:colOff>220775</xdr:colOff>
      <xdr:row>3</xdr:row>
      <xdr:rowOff>137124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6F64D628-8382-4FE8-A809-1C2353CB86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152775" y="419100"/>
          <a:ext cx="1638095" cy="285714"/>
        </a:xfrm>
        <a:prstGeom prst="rect">
          <a:avLst/>
        </a:prstGeom>
      </xdr:spPr>
    </xdr:pic>
    <xdr:clientData/>
  </xdr:twoCellAnchor>
  <xdr:twoCellAnchor>
    <xdr:from>
      <xdr:col>8</xdr:col>
      <xdr:colOff>323849</xdr:colOff>
      <xdr:row>7</xdr:row>
      <xdr:rowOff>100012</xdr:rowOff>
    </xdr:from>
    <xdr:to>
      <xdr:col>14</xdr:col>
      <xdr:colOff>695324</xdr:colOff>
      <xdr:row>23</xdr:row>
      <xdr:rowOff>152400</xdr:rowOff>
    </xdr:to>
    <xdr:graphicFrame macro="">
      <xdr:nvGraphicFramePr>
        <xdr:cNvPr id="3" name="Diagramm 2">
          <a:extLst>
            <a:ext uri="{FF2B5EF4-FFF2-40B4-BE49-F238E27FC236}">
              <a16:creationId xmlns:a16="http://schemas.microsoft.com/office/drawing/2014/main" id="{D85FD22A-7C22-49FA-BEB7-1E27B72D124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7</xdr:col>
      <xdr:colOff>0</xdr:colOff>
      <xdr:row>2</xdr:row>
      <xdr:rowOff>0</xdr:rowOff>
    </xdr:from>
    <xdr:to>
      <xdr:col>9</xdr:col>
      <xdr:colOff>83619</xdr:colOff>
      <xdr:row>4</xdr:row>
      <xdr:rowOff>182810</xdr:rowOff>
    </xdr:to>
    <xdr:pic>
      <xdr:nvPicPr>
        <xdr:cNvPr id="4" name="Grafik 3">
          <a:extLst>
            <a:ext uri="{FF2B5EF4-FFF2-40B4-BE49-F238E27FC236}">
              <a16:creationId xmlns:a16="http://schemas.microsoft.com/office/drawing/2014/main" id="{C09EBC2E-85C0-42A7-9BC0-79A3ABF7DC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334000" y="381000"/>
          <a:ext cx="1609524" cy="56190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26EE42-9453-4FFF-9648-54006E332746}">
  <dimension ref="B3:H42"/>
  <sheetViews>
    <sheetView tabSelected="1" workbookViewId="0">
      <selection activeCell="C8" sqref="C8"/>
    </sheetView>
  </sheetViews>
  <sheetFormatPr baseColWidth="10" defaultRowHeight="15" x14ac:dyDescent="0.25"/>
  <cols>
    <col min="3" max="4" width="11.42578125" style="4"/>
    <col min="5" max="5" width="11.42578125" style="5"/>
  </cols>
  <sheetData>
    <row r="3" spans="2:8" x14ac:dyDescent="0.25">
      <c r="B3" s="16" t="s">
        <v>0</v>
      </c>
      <c r="C3" s="16"/>
      <c r="D3" s="16"/>
    </row>
    <row r="5" spans="2:8" ht="18" x14ac:dyDescent="0.35">
      <c r="B5" s="1" t="s">
        <v>5</v>
      </c>
      <c r="C5" s="3">
        <v>25</v>
      </c>
      <c r="D5" s="4" t="s">
        <v>7</v>
      </c>
    </row>
    <row r="6" spans="2:8" ht="18" x14ac:dyDescent="0.35">
      <c r="B6" s="1" t="s">
        <v>6</v>
      </c>
      <c r="C6" s="3">
        <v>10000</v>
      </c>
      <c r="D6" s="4" t="s">
        <v>1</v>
      </c>
      <c r="E6" s="16" t="s">
        <v>10</v>
      </c>
      <c r="F6" s="16"/>
      <c r="G6" s="16"/>
    </row>
    <row r="7" spans="2:8" ht="18" x14ac:dyDescent="0.35">
      <c r="B7" s="1" t="s">
        <v>3</v>
      </c>
      <c r="C7" s="3">
        <v>3950</v>
      </c>
      <c r="D7" s="4" t="s">
        <v>2</v>
      </c>
      <c r="E7" s="6" t="s">
        <v>11</v>
      </c>
      <c r="F7" s="2">
        <v>15000</v>
      </c>
      <c r="G7" t="s">
        <v>1</v>
      </c>
    </row>
    <row r="8" spans="2:8" ht="18" x14ac:dyDescent="0.35">
      <c r="B8" s="1" t="s">
        <v>8</v>
      </c>
      <c r="C8" s="3">
        <v>273.16000000000003</v>
      </c>
      <c r="D8" s="4" t="s">
        <v>7</v>
      </c>
      <c r="E8" s="6" t="s">
        <v>12</v>
      </c>
      <c r="F8" s="2">
        <v>5</v>
      </c>
      <c r="G8" t="s">
        <v>13</v>
      </c>
    </row>
    <row r="9" spans="2:8" x14ac:dyDescent="0.25">
      <c r="B9" s="1"/>
      <c r="C9" s="3"/>
      <c r="E9" s="6"/>
      <c r="F9" s="2"/>
    </row>
    <row r="10" spans="2:8" x14ac:dyDescent="0.25">
      <c r="F10" s="17" t="s">
        <v>17</v>
      </c>
      <c r="G10" s="17"/>
      <c r="H10" s="17"/>
    </row>
    <row r="11" spans="2:8" ht="18" x14ac:dyDescent="0.35">
      <c r="B11" s="2" t="s">
        <v>15</v>
      </c>
      <c r="C11" s="3" t="s">
        <v>4</v>
      </c>
      <c r="D11" s="3" t="s">
        <v>9</v>
      </c>
      <c r="E11" s="7" t="s">
        <v>14</v>
      </c>
      <c r="F11" s="11" t="s">
        <v>16</v>
      </c>
      <c r="G11" s="11" t="s">
        <v>4</v>
      </c>
      <c r="H11" s="12" t="s">
        <v>15</v>
      </c>
    </row>
    <row r="12" spans="2:8" x14ac:dyDescent="0.25">
      <c r="B12">
        <v>15</v>
      </c>
      <c r="C12" s="5">
        <f>$C$6*EXP($C$7*((1/(B12+$C$8))-(1/($C$5+$C$8))))</f>
        <v>15836.650777447219</v>
      </c>
      <c r="D12" s="4">
        <f>$F$8*(C12/(C12+$F$7))</f>
        <v>2.5678292515848637</v>
      </c>
      <c r="E12" s="5">
        <f>(1023/$F$8)*D12</f>
        <v>525.37786487426308</v>
      </c>
      <c r="F12" s="13">
        <f>($F$8/1023)*E12</f>
        <v>2.5678292515848637</v>
      </c>
      <c r="G12" s="14">
        <f>(F12*$F$7)/($F$8-F12)</f>
        <v>15836.650777447221</v>
      </c>
      <c r="H12" s="15">
        <f>$C$7/(LN(G12/$C$6)+($C$7/($C$5+$C$8)))-$C$8</f>
        <v>15</v>
      </c>
    </row>
    <row r="13" spans="2:8" x14ac:dyDescent="0.25">
      <c r="B13">
        <v>16</v>
      </c>
      <c r="C13" s="5">
        <f t="shared" ref="C13:C42" si="0">$C$6*EXP($C$7*((1/(B13+$C$8))-(1/($C$5+$C$8))))</f>
        <v>15103.429095214971</v>
      </c>
      <c r="D13" s="4">
        <f t="shared" ref="D13:D42" si="1">$F$8*(C13/(C13+$F$7))</f>
        <v>2.508589477870431</v>
      </c>
      <c r="E13" s="5">
        <f t="shared" ref="E13:E42" si="2">(1023/$F$8)*D13</f>
        <v>513.25740717229019</v>
      </c>
      <c r="F13" s="13">
        <f t="shared" ref="F13:F42" si="3">($F$8/1023)*E13</f>
        <v>2.508589477870431</v>
      </c>
      <c r="G13" s="14">
        <f t="shared" ref="G13:G42" si="4">(F13*$F$7)/($F$8-F13)</f>
        <v>15103.429095214975</v>
      </c>
      <c r="H13" s="15">
        <f t="shared" ref="H13:H42" si="5">$C$7/(LN(G13/$C$6)+($C$7/($C$5+$C$8)))-$C$8</f>
        <v>16</v>
      </c>
    </row>
    <row r="14" spans="2:8" x14ac:dyDescent="0.25">
      <c r="B14">
        <v>17</v>
      </c>
      <c r="C14" s="5">
        <f t="shared" si="0"/>
        <v>14408.862219613857</v>
      </c>
      <c r="D14" s="4">
        <f t="shared" si="1"/>
        <v>2.4497483296045459</v>
      </c>
      <c r="E14" s="5">
        <f t="shared" si="2"/>
        <v>501.21850823709008</v>
      </c>
      <c r="F14" s="13">
        <f t="shared" si="3"/>
        <v>2.4497483296045459</v>
      </c>
      <c r="G14" s="14">
        <f t="shared" si="4"/>
        <v>14408.862219613859</v>
      </c>
      <c r="H14" s="15">
        <f t="shared" si="5"/>
        <v>17</v>
      </c>
    </row>
    <row r="15" spans="2:8" x14ac:dyDescent="0.25">
      <c r="B15">
        <v>18</v>
      </c>
      <c r="C15" s="5">
        <f t="shared" si="0"/>
        <v>13750.682686048725</v>
      </c>
      <c r="D15" s="4">
        <f t="shared" si="1"/>
        <v>2.3913662914030986</v>
      </c>
      <c r="E15" s="5">
        <f t="shared" si="2"/>
        <v>489.27354322107396</v>
      </c>
      <c r="F15" s="13">
        <f t="shared" si="3"/>
        <v>2.3913662914030986</v>
      </c>
      <c r="G15" s="14">
        <f t="shared" si="4"/>
        <v>13750.682686048722</v>
      </c>
      <c r="H15" s="15">
        <f t="shared" si="5"/>
        <v>18</v>
      </c>
    </row>
    <row r="16" spans="2:8" x14ac:dyDescent="0.25">
      <c r="B16">
        <v>19</v>
      </c>
      <c r="C16" s="5">
        <f t="shared" si="0"/>
        <v>13126.768739945503</v>
      </c>
      <c r="D16" s="4">
        <f t="shared" si="1"/>
        <v>2.3335010255378053</v>
      </c>
      <c r="E16" s="5">
        <f t="shared" si="2"/>
        <v>477.43430982503492</v>
      </c>
      <c r="F16" s="13">
        <f t="shared" si="3"/>
        <v>2.3335010255378053</v>
      </c>
      <c r="G16" s="14">
        <f t="shared" si="4"/>
        <v>13126.768739945501</v>
      </c>
      <c r="H16" s="15">
        <f t="shared" si="5"/>
        <v>19</v>
      </c>
    </row>
    <row r="17" spans="2:8" x14ac:dyDescent="0.25">
      <c r="B17">
        <v>20</v>
      </c>
      <c r="C17" s="5">
        <f t="shared" si="0"/>
        <v>12535.134194873373</v>
      </c>
      <c r="D17" s="4">
        <f t="shared" si="1"/>
        <v>2.2762072096977879</v>
      </c>
      <c r="E17" s="5">
        <f t="shared" si="2"/>
        <v>465.71199510416739</v>
      </c>
      <c r="F17" s="13">
        <f t="shared" si="3"/>
        <v>2.2762072096977879</v>
      </c>
      <c r="G17" s="14">
        <f t="shared" si="4"/>
        <v>12535.134194873373</v>
      </c>
      <c r="H17" s="15">
        <f t="shared" si="5"/>
        <v>19.999999999999943</v>
      </c>
    </row>
    <row r="18" spans="2:8" x14ac:dyDescent="0.25">
      <c r="B18">
        <v>21</v>
      </c>
      <c r="C18" s="5">
        <f t="shared" si="0"/>
        <v>11973.919048617772</v>
      </c>
      <c r="D18" s="4">
        <f t="shared" si="1"/>
        <v>2.2195364023737132</v>
      </c>
      <c r="E18" s="5">
        <f t="shared" si="2"/>
        <v>454.1171479256617</v>
      </c>
      <c r="F18" s="13">
        <f t="shared" si="3"/>
        <v>2.2195364023737132</v>
      </c>
      <c r="G18" s="14">
        <f t="shared" si="4"/>
        <v>11973.919048617774</v>
      </c>
      <c r="H18" s="15">
        <f t="shared" si="5"/>
        <v>20.999999999999943</v>
      </c>
    </row>
    <row r="19" spans="2:8" x14ac:dyDescent="0.25">
      <c r="B19">
        <v>22</v>
      </c>
      <c r="C19" s="5">
        <f t="shared" si="0"/>
        <v>11441.380796802885</v>
      </c>
      <c r="D19" s="4">
        <f t="shared" si="1"/>
        <v>2.1635369356706025</v>
      </c>
      <c r="E19" s="5">
        <f t="shared" si="2"/>
        <v>442.65965703820524</v>
      </c>
      <c r="F19" s="13">
        <f t="shared" si="3"/>
        <v>2.1635369356706025</v>
      </c>
      <c r="G19" s="14">
        <f t="shared" si="4"/>
        <v>11441.380796802887</v>
      </c>
      <c r="H19" s="15">
        <f t="shared" si="5"/>
        <v>22</v>
      </c>
    </row>
    <row r="20" spans="2:8" x14ac:dyDescent="0.25">
      <c r="B20">
        <v>23</v>
      </c>
      <c r="C20" s="5">
        <f t="shared" si="0"/>
        <v>10935.886388766352</v>
      </c>
      <c r="D20" s="4">
        <f t="shared" si="1"/>
        <v>2.1082538350227789</v>
      </c>
      <c r="E20" s="5">
        <f t="shared" si="2"/>
        <v>431.34873464566056</v>
      </c>
      <c r="F20" s="13">
        <f t="shared" si="3"/>
        <v>2.1082538350227789</v>
      </c>
      <c r="G20" s="14">
        <f t="shared" si="4"/>
        <v>10935.88638876635</v>
      </c>
      <c r="H20" s="15">
        <f t="shared" si="5"/>
        <v>23</v>
      </c>
    </row>
    <row r="21" spans="2:8" x14ac:dyDescent="0.25">
      <c r="B21">
        <v>24</v>
      </c>
      <c r="C21" s="5">
        <f t="shared" si="0"/>
        <v>10455.904775036526</v>
      </c>
      <c r="D21" s="4">
        <f t="shared" si="1"/>
        <v>2.0537287649838647</v>
      </c>
      <c r="E21" s="5">
        <f t="shared" si="2"/>
        <v>420.19290531569868</v>
      </c>
      <c r="F21" s="13">
        <f t="shared" si="3"/>
        <v>2.0537287649838647</v>
      </c>
      <c r="G21" s="14">
        <f t="shared" si="4"/>
        <v>10455.904775036526</v>
      </c>
      <c r="H21" s="15">
        <f t="shared" si="5"/>
        <v>24</v>
      </c>
    </row>
    <row r="22" spans="2:8" x14ac:dyDescent="0.25">
      <c r="B22" s="8">
        <v>25</v>
      </c>
      <c r="C22" s="10">
        <f t="shared" si="0"/>
        <v>10000</v>
      </c>
      <c r="D22" s="9">
        <f t="shared" si="1"/>
        <v>2</v>
      </c>
      <c r="E22" s="5">
        <f t="shared" si="2"/>
        <v>409.2</v>
      </c>
      <c r="F22" s="13">
        <f t="shared" si="3"/>
        <v>2</v>
      </c>
      <c r="G22" s="14">
        <f t="shared" si="4"/>
        <v>10000</v>
      </c>
      <c r="H22" s="15">
        <f t="shared" si="5"/>
        <v>25</v>
      </c>
    </row>
    <row r="23" spans="2:8" x14ac:dyDescent="0.25">
      <c r="B23">
        <v>26</v>
      </c>
      <c r="C23" s="5">
        <f t="shared" si="0"/>
        <v>9566.8247972074751</v>
      </c>
      <c r="D23" s="4">
        <f t="shared" si="1"/>
        <v>1.9471024188471726</v>
      </c>
      <c r="E23" s="5">
        <f t="shared" si="2"/>
        <v>398.37715489613151</v>
      </c>
      <c r="F23" s="13">
        <f t="shared" si="3"/>
        <v>1.9471024188471726</v>
      </c>
      <c r="G23" s="14">
        <f t="shared" si="4"/>
        <v>9566.8247972074751</v>
      </c>
      <c r="H23" s="15">
        <f t="shared" si="5"/>
        <v>26</v>
      </c>
    </row>
    <row r="24" spans="2:8" x14ac:dyDescent="0.25">
      <c r="B24">
        <v>27</v>
      </c>
      <c r="C24" s="5">
        <f t="shared" si="0"/>
        <v>9155.1146482906315</v>
      </c>
      <c r="D24" s="4">
        <f t="shared" si="1"/>
        <v>1.8950675212254695</v>
      </c>
      <c r="E24" s="5">
        <f t="shared" si="2"/>
        <v>387.73081484273104</v>
      </c>
      <c r="F24" s="13">
        <f t="shared" si="3"/>
        <v>1.8950675212254693</v>
      </c>
      <c r="G24" s="14">
        <f t="shared" si="4"/>
        <v>9155.1146482906279</v>
      </c>
      <c r="H24" s="15">
        <f t="shared" si="5"/>
        <v>26.999999999999943</v>
      </c>
    </row>
    <row r="25" spans="2:8" x14ac:dyDescent="0.25">
      <c r="B25">
        <v>28</v>
      </c>
      <c r="C25" s="5">
        <f t="shared" si="0"/>
        <v>8763.6822696764812</v>
      </c>
      <c r="D25" s="4">
        <f t="shared" si="1"/>
        <v>1.8439234648536207</v>
      </c>
      <c r="E25" s="5">
        <f t="shared" si="2"/>
        <v>377.26674090905078</v>
      </c>
      <c r="F25" s="13">
        <f t="shared" si="3"/>
        <v>1.8439234648536207</v>
      </c>
      <c r="G25" s="14">
        <f t="shared" si="4"/>
        <v>8763.682269676483</v>
      </c>
      <c r="H25" s="15">
        <f t="shared" si="5"/>
        <v>27.999999999999943</v>
      </c>
    </row>
    <row r="26" spans="2:8" x14ac:dyDescent="0.25">
      <c r="B26">
        <v>29</v>
      </c>
      <c r="C26" s="5">
        <f t="shared" si="0"/>
        <v>8391.4124942213766</v>
      </c>
      <c r="D26" s="4">
        <f t="shared" si="1"/>
        <v>1.7936951212959873</v>
      </c>
      <c r="E26" s="5">
        <f t="shared" si="2"/>
        <v>366.990021817159</v>
      </c>
      <c r="F26" s="13">
        <f t="shared" si="3"/>
        <v>1.7936951212959873</v>
      </c>
      <c r="G26" s="14">
        <f t="shared" si="4"/>
        <v>8391.4124942213766</v>
      </c>
      <c r="H26" s="15">
        <f t="shared" si="5"/>
        <v>29</v>
      </c>
    </row>
    <row r="27" spans="2:8" x14ac:dyDescent="0.25">
      <c r="B27">
        <v>30</v>
      </c>
      <c r="C27" s="5">
        <f t="shared" si="0"/>
        <v>8037.257517568285</v>
      </c>
      <c r="D27" s="4">
        <f t="shared" si="1"/>
        <v>1.7444041486793833</v>
      </c>
      <c r="E27" s="5">
        <f t="shared" si="2"/>
        <v>356.90508881980179</v>
      </c>
      <c r="F27" s="13">
        <f t="shared" si="3"/>
        <v>1.7444041486793831</v>
      </c>
      <c r="G27" s="14">
        <f t="shared" si="4"/>
        <v>8037.2575175682832</v>
      </c>
      <c r="H27" s="15">
        <f t="shared" si="5"/>
        <v>30</v>
      </c>
    </row>
    <row r="28" spans="2:8" x14ac:dyDescent="0.25">
      <c r="B28">
        <v>31</v>
      </c>
      <c r="C28" s="5">
        <f t="shared" si="0"/>
        <v>7700.2324814810281</v>
      </c>
      <c r="D28" s="4">
        <f t="shared" si="1"/>
        <v>1.6960690794164597</v>
      </c>
      <c r="E28" s="5">
        <f t="shared" si="2"/>
        <v>347.01573364860764</v>
      </c>
      <c r="F28" s="13">
        <f t="shared" si="3"/>
        <v>1.6960690794164597</v>
      </c>
      <c r="G28" s="14">
        <f t="shared" si="4"/>
        <v>7700.232481481029</v>
      </c>
      <c r="H28" s="15">
        <f t="shared" si="5"/>
        <v>30.999999999999943</v>
      </c>
    </row>
    <row r="29" spans="2:8" x14ac:dyDescent="0.25">
      <c r="B29">
        <v>32</v>
      </c>
      <c r="C29" s="5">
        <f t="shared" si="0"/>
        <v>7379.411368649754</v>
      </c>
      <c r="D29" s="4">
        <f t="shared" si="1"/>
        <v>1.6487054210432044</v>
      </c>
      <c r="E29" s="5">
        <f t="shared" si="2"/>
        <v>337.32512914543963</v>
      </c>
      <c r="F29" s="13">
        <f t="shared" si="3"/>
        <v>1.6487054210432044</v>
      </c>
      <c r="G29" s="14">
        <f t="shared" si="4"/>
        <v>7379.4113686497531</v>
      </c>
      <c r="H29" s="15">
        <f t="shared" si="5"/>
        <v>32</v>
      </c>
    </row>
    <row r="30" spans="2:8" x14ac:dyDescent="0.25">
      <c r="B30">
        <v>33</v>
      </c>
      <c r="C30" s="5">
        <f t="shared" si="0"/>
        <v>7073.923185511163</v>
      </c>
      <c r="D30" s="4">
        <f t="shared" si="1"/>
        <v>1.6023257682971213</v>
      </c>
      <c r="E30" s="5">
        <f t="shared" si="2"/>
        <v>327.83585219359099</v>
      </c>
      <c r="F30" s="13">
        <f t="shared" si="3"/>
        <v>1.6023257682971213</v>
      </c>
      <c r="G30" s="14">
        <f t="shared" si="4"/>
        <v>7073.923185511163</v>
      </c>
      <c r="H30" s="15">
        <f t="shared" si="5"/>
        <v>33</v>
      </c>
    </row>
    <row r="31" spans="2:8" x14ac:dyDescent="0.25">
      <c r="B31">
        <v>34</v>
      </c>
      <c r="C31" s="5">
        <f t="shared" si="0"/>
        <v>6782.9484115021723</v>
      </c>
      <c r="D31" s="4">
        <f t="shared" si="1"/>
        <v>1.5569399246064719</v>
      </c>
      <c r="E31" s="5">
        <f t="shared" si="2"/>
        <v>318.54990857448416</v>
      </c>
      <c r="F31" s="13">
        <f t="shared" si="3"/>
        <v>1.5569399246064719</v>
      </c>
      <c r="G31" s="14">
        <f t="shared" si="4"/>
        <v>6782.9484115021714</v>
      </c>
      <c r="H31" s="15">
        <f t="shared" si="5"/>
        <v>33.999999999999943</v>
      </c>
    </row>
    <row r="32" spans="2:8" x14ac:dyDescent="0.25">
      <c r="B32">
        <v>35</v>
      </c>
      <c r="C32" s="5">
        <f t="shared" si="0"/>
        <v>6505.7156948830598</v>
      </c>
      <c r="D32" s="4">
        <f t="shared" si="1"/>
        <v>1.5125550312261848</v>
      </c>
      <c r="E32" s="5">
        <f t="shared" si="2"/>
        <v>309.4687593888774</v>
      </c>
      <c r="F32" s="13">
        <f t="shared" si="3"/>
        <v>1.5125550312261848</v>
      </c>
      <c r="G32" s="14">
        <f t="shared" si="4"/>
        <v>6505.7156948830607</v>
      </c>
      <c r="H32" s="15">
        <f t="shared" si="5"/>
        <v>35</v>
      </c>
    </row>
    <row r="33" spans="2:8" x14ac:dyDescent="0.25">
      <c r="B33">
        <v>36</v>
      </c>
      <c r="C33" s="5">
        <f t="shared" si="0"/>
        <v>6241.4987768383244</v>
      </c>
      <c r="D33" s="4">
        <f t="shared" si="1"/>
        <v>1.4691757023388665</v>
      </c>
      <c r="E33" s="5">
        <f t="shared" si="2"/>
        <v>300.59334869853205</v>
      </c>
      <c r="F33" s="13">
        <f t="shared" si="3"/>
        <v>1.4691757023388663</v>
      </c>
      <c r="G33" s="14">
        <f t="shared" si="4"/>
        <v>6241.4987768383216</v>
      </c>
      <c r="H33" s="15">
        <f t="shared" si="5"/>
        <v>36</v>
      </c>
    </row>
    <row r="34" spans="2:8" x14ac:dyDescent="0.25">
      <c r="B34">
        <v>37</v>
      </c>
      <c r="C34" s="5">
        <f t="shared" si="0"/>
        <v>5989.6136270048237</v>
      </c>
      <c r="D34" s="4">
        <f t="shared" si="1"/>
        <v>1.4268041645365748</v>
      </c>
      <c r="E34" s="5">
        <f t="shared" si="2"/>
        <v>291.9241320641832</v>
      </c>
      <c r="F34" s="13">
        <f t="shared" si="3"/>
        <v>1.4268041645365748</v>
      </c>
      <c r="G34" s="14">
        <f t="shared" si="4"/>
        <v>5989.6136270048246</v>
      </c>
      <c r="H34" s="15">
        <f t="shared" si="5"/>
        <v>37</v>
      </c>
    </row>
    <row r="35" spans="2:8" x14ac:dyDescent="0.25">
      <c r="B35">
        <v>38</v>
      </c>
      <c r="C35" s="5">
        <f t="shared" si="0"/>
        <v>5749.4157748977905</v>
      </c>
      <c r="D35" s="4">
        <f t="shared" si="1"/>
        <v>1.3854403992071225</v>
      </c>
      <c r="E35" s="5">
        <f t="shared" si="2"/>
        <v>283.46110567777725</v>
      </c>
      <c r="F35" s="13">
        <f t="shared" si="3"/>
        <v>1.3854403992071225</v>
      </c>
      <c r="G35" s="14">
        <f t="shared" si="4"/>
        <v>5749.4157748977923</v>
      </c>
      <c r="H35" s="15">
        <f t="shared" si="5"/>
        <v>38</v>
      </c>
    </row>
    <row r="36" spans="2:8" x14ac:dyDescent="0.25">
      <c r="B36">
        <v>39</v>
      </c>
      <c r="C36" s="5">
        <f t="shared" si="0"/>
        <v>5520.2978229169967</v>
      </c>
      <c r="D36" s="4">
        <f t="shared" si="1"/>
        <v>1.3450822864646603</v>
      </c>
      <c r="E36" s="5">
        <f t="shared" si="2"/>
        <v>275.20383581066949</v>
      </c>
      <c r="F36" s="13">
        <f t="shared" si="3"/>
        <v>1.3450822864646603</v>
      </c>
      <c r="G36" s="14">
        <f t="shared" si="4"/>
        <v>5520.2978229169976</v>
      </c>
      <c r="H36" s="15">
        <f t="shared" si="5"/>
        <v>39</v>
      </c>
    </row>
    <row r="37" spans="2:8" x14ac:dyDescent="0.25">
      <c r="B37">
        <v>40</v>
      </c>
      <c r="C37" s="5">
        <f t="shared" si="0"/>
        <v>5301.6871277268665</v>
      </c>
      <c r="D37" s="4">
        <f t="shared" si="1"/>
        <v>1.3057257493851657</v>
      </c>
      <c r="E37" s="5">
        <f t="shared" si="2"/>
        <v>267.15148832420488</v>
      </c>
      <c r="F37" s="13">
        <f t="shared" si="3"/>
        <v>1.3057257493851655</v>
      </c>
      <c r="G37" s="14">
        <f t="shared" si="4"/>
        <v>5301.6871277268656</v>
      </c>
      <c r="H37" s="15">
        <f t="shared" si="5"/>
        <v>40</v>
      </c>
    </row>
    <row r="38" spans="2:8" x14ac:dyDescent="0.25">
      <c r="B38">
        <v>41</v>
      </c>
      <c r="C38" s="5">
        <f t="shared" si="0"/>
        <v>5093.0436378250351</v>
      </c>
      <c r="D38" s="4">
        <f t="shared" si="1"/>
        <v>1.2673648974308229</v>
      </c>
      <c r="E38" s="5">
        <f t="shared" si="2"/>
        <v>259.30285801434638</v>
      </c>
      <c r="F38" s="13">
        <f t="shared" si="3"/>
        <v>1.2673648974308229</v>
      </c>
      <c r="G38" s="14">
        <f t="shared" si="4"/>
        <v>5093.0436378250351</v>
      </c>
      <c r="H38" s="15">
        <f t="shared" si="5"/>
        <v>41</v>
      </c>
    </row>
    <row r="39" spans="2:8" x14ac:dyDescent="0.25">
      <c r="B39">
        <v>42</v>
      </c>
      <c r="C39" s="5">
        <f t="shared" si="0"/>
        <v>4893.857876050748</v>
      </c>
      <c r="D39" s="4">
        <f t="shared" si="1"/>
        <v>1.2299921680706856</v>
      </c>
      <c r="E39" s="5">
        <f t="shared" si="2"/>
        <v>251.65639758726226</v>
      </c>
      <c r="F39" s="13">
        <f t="shared" si="3"/>
        <v>1.2299921680706856</v>
      </c>
      <c r="G39" s="14">
        <f t="shared" si="4"/>
        <v>4893.8578760507489</v>
      </c>
      <c r="H39" s="15">
        <f t="shared" si="5"/>
        <v>42</v>
      </c>
    </row>
    <row r="40" spans="2:8" x14ac:dyDescent="0.25">
      <c r="B40">
        <v>43</v>
      </c>
      <c r="C40" s="5">
        <f t="shared" si="0"/>
        <v>4703.6490566455614</v>
      </c>
      <c r="D40" s="4">
        <f t="shared" si="1"/>
        <v>1.193598465726615</v>
      </c>
      <c r="E40" s="5">
        <f t="shared" si="2"/>
        <v>244.21024608766541</v>
      </c>
      <c r="F40" s="13">
        <f t="shared" si="3"/>
        <v>1.193598465726615</v>
      </c>
      <c r="G40" s="14">
        <f t="shared" si="4"/>
        <v>4703.6490566455623</v>
      </c>
      <c r="H40" s="15">
        <f t="shared" si="5"/>
        <v>43</v>
      </c>
    </row>
    <row r="41" spans="2:8" x14ac:dyDescent="0.25">
      <c r="B41">
        <v>44</v>
      </c>
      <c r="C41" s="5">
        <f t="shared" si="0"/>
        <v>4521.963327269872</v>
      </c>
      <c r="D41" s="4">
        <f t="shared" si="1"/>
        <v>1.1581732972915755</v>
      </c>
      <c r="E41" s="5">
        <f t="shared" si="2"/>
        <v>236.96225662585633</v>
      </c>
      <c r="F41" s="13">
        <f t="shared" si="3"/>
        <v>1.1581732972915755</v>
      </c>
      <c r="G41" s="14">
        <f t="shared" si="4"/>
        <v>4521.9633272698729</v>
      </c>
      <c r="H41" s="15">
        <f t="shared" si="5"/>
        <v>44</v>
      </c>
    </row>
    <row r="42" spans="2:8" x14ac:dyDescent="0.25">
      <c r="B42">
        <v>45</v>
      </c>
      <c r="C42" s="5">
        <f t="shared" si="0"/>
        <v>4348.3721271064742</v>
      </c>
      <c r="D42" s="4">
        <f t="shared" si="1"/>
        <v>1.1237049035806321</v>
      </c>
      <c r="E42" s="5">
        <f t="shared" si="2"/>
        <v>229.91002327259733</v>
      </c>
      <c r="F42" s="13">
        <f t="shared" si="3"/>
        <v>1.1237049035806321</v>
      </c>
      <c r="G42" s="14">
        <f t="shared" si="4"/>
        <v>4348.3721271064742</v>
      </c>
      <c r="H42" s="15">
        <f t="shared" si="5"/>
        <v>45</v>
      </c>
    </row>
  </sheetData>
  <mergeCells count="3">
    <mergeCell ref="E6:G6"/>
    <mergeCell ref="B3:D3"/>
    <mergeCell ref="F10:H10"/>
  </mergeCells>
  <pageMargins left="0.7" right="0.7" top="0.78740157499999996" bottom="0.78740157499999996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GAISER, Chris</dc:creator>
  <cp:lastModifiedBy>GAISER, Chris</cp:lastModifiedBy>
  <dcterms:created xsi:type="dcterms:W3CDTF">2025-04-15T09:13:31Z</dcterms:created>
  <dcterms:modified xsi:type="dcterms:W3CDTF">2025-04-23T11:05:22Z</dcterms:modified>
</cp:coreProperties>
</file>